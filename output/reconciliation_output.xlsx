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onciliation Statement" sheetId="1" state="visible" r:id="rId3"/>
    <sheet name="Reconciliation Detail"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<sst xmlns="http://schemas.openxmlformats.org/spreadsheetml/2006/main" count="162" uniqueCount="114">
  <si>
    <t xml:space="preserve">Bank Reconciliation Statement</t>
  </si>
  <si>
    <t xml:space="preserve">As of period end (see Reconciliation Detail tab for source data)</t>
  </si>
  <si>
    <t xml:space="preserve">BALANCE PER BANK STATEMENT</t>
  </si>
  <si>
    <t xml:space="preserve">BALANCE PER BOOKS</t>
  </si>
  <si>
    <t xml:space="preserve">Balance per bank statement, ending</t>
  </si>
  <si>
    <t xml:space="preserve">Balance per books, ending</t>
  </si>
  <si>
    <t xml:space="preserve">(+) Deposits in Transit (recorded in books, not yet by bank)</t>
  </si>
  <si>
    <t xml:space="preserve">(+/-) Bank-side items not yet recorded in books (e.g. fees)</t>
  </si>
  <si>
    <t xml:space="preserve">(+) Outstanding Checks (recorded in books, not yet by bank)</t>
  </si>
  <si>
    <t xml:space="preserve">Adjusted Book Balance</t>
  </si>
  <si>
    <t xml:space="preserve">Adjusted Bank Balance</t>
  </si>
  <si>
    <t xml:space="preserve">Difference (Adjusted Bank - Adjusted Book)</t>
  </si>
  <si>
    <t xml:space="preserve">Reconciled?</t>
  </si>
  <si>
    <t xml:space="preserve">Reconciling difference is explained by unresolved items:</t>
  </si>
  <si>
    <t xml:space="preserve">Amount Mismatch -- bank amount not yet corrected in books</t>
  </si>
  <si>
    <t xml:space="preserve">Possible Duplicate -- bank amount with no offsetting book entry</t>
  </si>
  <si>
    <t xml:space="preserve">Sum of unresolved items (should equal Difference above)</t>
  </si>
  <si>
    <t xml:space="preserve">Note: This is a simplified statement built from the sample dataset. Adjusted Bank and Adjusted Book balances will only tie out once Amount Mismatch and Possible Duplicate items are resolved by a human reviewer (corrected, reversed, or confirmed as legitimate) -- they are intentionally excluded from the automatic Deposits in Transit / Outstanding Checks / Bank-only adjustments above so they are never silently netted out without review. Outstanding Item (pure date timing differences with no amount issue) does not affect either ending balance and is excluded for the same reason.</t>
  </si>
  <si>
    <t xml:space="preserve">Bank Ref</t>
  </si>
  <si>
    <t xml:space="preserve">Book Ref</t>
  </si>
  <si>
    <t xml:space="preserve">Date (Bank)</t>
  </si>
  <si>
    <t xml:space="preserve">Date (Book)</t>
  </si>
  <si>
    <t xml:space="preserve">Description / Vendor</t>
  </si>
  <si>
    <t xml:space="preserve">Amount (Bank)</t>
  </si>
  <si>
    <t xml:space="preserve">Amount (Book)</t>
  </si>
  <si>
    <t xml:space="preserve">Status</t>
  </si>
  <si>
    <t xml:space="preserve">Note</t>
  </si>
  <si>
    <t xml:space="preserve">B001</t>
  </si>
  <si>
    <t xml:space="preserve">L001</t>
  </si>
  <si>
    <t xml:space="preserve">STARBUCKS STORE 4521</t>
  </si>
  <si>
    <t xml:space="preserve">Matched</t>
  </si>
  <si>
    <t xml:space="preserve">Amount, date, and payee agree</t>
  </si>
  <si>
    <t xml:space="preserve">B002</t>
  </si>
  <si>
    <t xml:space="preserve">L002</t>
  </si>
  <si>
    <t xml:space="preserve">Client Payment A</t>
  </si>
  <si>
    <t xml:space="preserve">B003</t>
  </si>
  <si>
    <t xml:space="preserve">L003</t>
  </si>
  <si>
    <t xml:space="preserve">OFFICE DEPOT #1133</t>
  </si>
  <si>
    <t xml:space="preserve">Amount Mismatch</t>
  </si>
  <si>
    <t xml:space="preserve">Amount differs by 0.20 (possible data entry error)</t>
  </si>
  <si>
    <t xml:space="preserve">B004</t>
  </si>
  <si>
    <t xml:space="preserve">L004</t>
  </si>
  <si>
    <t xml:space="preserve">AMAZON WEB SERVICES</t>
  </si>
  <si>
    <t xml:space="preserve">B005</t>
  </si>
  <si>
    <t xml:space="preserve">L005</t>
  </si>
  <si>
    <t xml:space="preserve">Client Payment B</t>
  </si>
  <si>
    <t xml:space="preserve">B006</t>
  </si>
  <si>
    <t xml:space="preserve">L006</t>
  </si>
  <si>
    <t xml:space="preserve">Zoom Subscription</t>
  </si>
  <si>
    <t xml:space="preserve">B007</t>
  </si>
  <si>
    <t xml:space="preserve">L007</t>
  </si>
  <si>
    <t xml:space="preserve">Client Payment C</t>
  </si>
  <si>
    <t xml:space="preserve">Possible Duplicate</t>
  </si>
  <si>
    <t xml:space="preserve">Same amount and date appears more than once on the bank statement</t>
  </si>
  <si>
    <t xml:space="preserve">B008</t>
  </si>
  <si>
    <t xml:space="preserve">B009</t>
  </si>
  <si>
    <t xml:space="preserve">L008</t>
  </si>
  <si>
    <t xml:space="preserve">WEWORK MONTHLY</t>
  </si>
  <si>
    <t xml:space="preserve">B010</t>
  </si>
  <si>
    <t xml:space="preserve">L009</t>
  </si>
  <si>
    <t xml:space="preserve">Adobe Creative Cloud</t>
  </si>
  <si>
    <t xml:space="preserve">B011</t>
  </si>
  <si>
    <t xml:space="preserve">L010</t>
  </si>
  <si>
    <t xml:space="preserve">Client Payment D</t>
  </si>
  <si>
    <t xml:space="preserve">Outstanding Item</t>
  </si>
  <si>
    <t xml:space="preserve">Date differs by 1 day(s) (standard clearing delay)</t>
  </si>
  <si>
    <t xml:space="preserve">B012</t>
  </si>
  <si>
    <t xml:space="preserve">L011</t>
  </si>
  <si>
    <t xml:space="preserve">UBER TRIP HELP.UBER.COM</t>
  </si>
  <si>
    <t xml:space="preserve">B013</t>
  </si>
  <si>
    <t xml:space="preserve">L012</t>
  </si>
  <si>
    <t xml:space="preserve">Linkedin Premium</t>
  </si>
  <si>
    <t xml:space="preserve">B014</t>
  </si>
  <si>
    <t xml:space="preserve">L013</t>
  </si>
  <si>
    <t xml:space="preserve">Client Payment E</t>
  </si>
  <si>
    <t xml:space="preserve">B015</t>
  </si>
  <si>
    <t xml:space="preserve">L014</t>
  </si>
  <si>
    <t xml:space="preserve">COSTCO WHOLESALE</t>
  </si>
  <si>
    <t xml:space="preserve">B016</t>
  </si>
  <si>
    <t xml:space="preserve">Bank Service Fee</t>
  </si>
  <si>
    <t xml:space="preserve">Bank Only</t>
  </si>
  <si>
    <t xml:space="preserve">No corresponding entry found in the books</t>
  </si>
  <si>
    <t xml:space="preserve">B017</t>
  </si>
  <si>
    <t xml:space="preserve">L015</t>
  </si>
  <si>
    <t xml:space="preserve">Client Payment F</t>
  </si>
  <si>
    <t xml:space="preserve">B018</t>
  </si>
  <si>
    <t xml:space="preserve">L016</t>
  </si>
  <si>
    <t xml:space="preserve">GOOGLE ADS</t>
  </si>
  <si>
    <t xml:space="preserve">B019</t>
  </si>
  <si>
    <t xml:space="preserve">L017</t>
  </si>
  <si>
    <t xml:space="preserve">Client Payment G</t>
  </si>
  <si>
    <t xml:space="preserve">B020</t>
  </si>
  <si>
    <t xml:space="preserve">L018</t>
  </si>
  <si>
    <t xml:space="preserve">FedEx Shipping</t>
  </si>
  <si>
    <t xml:space="preserve">B021</t>
  </si>
  <si>
    <t xml:space="preserve">L019</t>
  </si>
  <si>
    <t xml:space="preserve">Client Payment H</t>
  </si>
  <si>
    <t xml:space="preserve">B022</t>
  </si>
  <si>
    <t xml:space="preserve">L020</t>
  </si>
  <si>
    <t xml:space="preserve">Slack Subscription</t>
  </si>
  <si>
    <t xml:space="preserve">B023</t>
  </si>
  <si>
    <t xml:space="preserve">L021</t>
  </si>
  <si>
    <t xml:space="preserve">Client Payment I</t>
  </si>
  <si>
    <t xml:space="preserve">B024</t>
  </si>
  <si>
    <t xml:space="preserve">Apple Store</t>
  </si>
  <si>
    <t xml:space="preserve">B025</t>
  </si>
  <si>
    <t xml:space="preserve">L023</t>
  </si>
  <si>
    <t xml:space="preserve">Client Payment J</t>
  </si>
  <si>
    <t xml:space="preserve">L022</t>
  </si>
  <si>
    <t xml:space="preserve">Office Chair Purchase</t>
  </si>
  <si>
    <t xml:space="preserve">Book Only</t>
  </si>
  <si>
    <t xml:space="preserve">No corresponding entry found on the bank statement</t>
  </si>
  <si>
    <t xml:space="preserve">Count</t>
  </si>
  <si>
    <t xml:space="preserve">Total Transactions</t>
  </si>
</sst>
</file>

<file path=xl/styles.xml><?xml version="1.0" encoding="utf-8"?>
<styleSheet xmlns="http://schemas.openxmlformats.org/spreadsheetml/2006/main">
  <numFmts count="3">
    <numFmt numFmtId="164" formatCode="General"/>
    <numFmt numFmtId="165" formatCode="#,##0.00;\(#,##0.00\)"/>
    <numFmt numFmtId="166" formatCode="yyyy\-mm\-dd"/>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9"/>
      <name val="Cambria"/>
      <family val="0"/>
      <charset val="1"/>
    </font>
    <font>
      <b val="true"/>
      <sz val="11"/>
      <name val="Cambria"/>
      <family val="0"/>
      <charset val="1"/>
    </font>
    <font>
      <sz val="11"/>
      <color rgb="FF000000"/>
      <name val="Cambria"/>
      <family val="0"/>
      <charset val="1"/>
    </font>
    <font>
      <b val="true"/>
      <i val="true"/>
      <sz val="9"/>
      <name val="Cambria"/>
      <family val="0"/>
      <charset val="1"/>
    </font>
    <font>
      <i val="true"/>
      <sz val="8"/>
      <color rgb="FF808080"/>
      <name val="Cambria"/>
      <family val="0"/>
      <charset val="1"/>
    </font>
    <font>
      <b val="true"/>
      <sz val="11"/>
      <color rgb="FFFFFFFF"/>
      <name val="Cambria"/>
      <family val="0"/>
      <charset val="1"/>
    </font>
  </fonts>
  <fills count="8">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C6EFCE"/>
        <bgColor rgb="FFCCFFFF"/>
      </patternFill>
    </fill>
    <fill>
      <patternFill patternType="solid">
        <fgColor rgb="FFFFC7CE"/>
        <bgColor rgb="FFFFD9B3"/>
      </patternFill>
    </fill>
    <fill>
      <patternFill patternType="solid">
        <fgColor rgb="FFFFEB9C"/>
        <bgColor rgb="FFFFD9B3"/>
      </patternFill>
    </fill>
    <fill>
      <patternFill patternType="solid">
        <fgColor rgb="FFFFD9B3"/>
        <bgColor rgb="FFFFEB9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D9B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 collapsed="false" customWidth="true" hidden="false" outlineLevel="0" max="3" min="3" style="0" width="4"/>
    <col collapsed="false" customWidth="true" hidden="false" outlineLevel="0" max="4" min="4" style="0" width="50"/>
    <col collapsed="false" customWidth="true" hidden="false" outlineLevel="0" max="5" min="5"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D4" s="3" t="s">
        <v>3</v>
      </c>
    </row>
    <row r="5" customFormat="false" ht="15" hidden="false" customHeight="false" outlineLevel="0" collapsed="false">
      <c r="A5" s="0" t="s">
        <v>4</v>
      </c>
      <c r="B5" s="4" t="n">
        <f aca="false">SUM('Reconciliation Detail'!F:F)</f>
        <v>10462.08</v>
      </c>
      <c r="D5" s="5" t="s">
        <v>5</v>
      </c>
      <c r="E5" s="4" t="n">
        <f aca="false">SUM('Reconciliation Detail'!G:G)</f>
        <v>9427.28</v>
      </c>
    </row>
    <row r="6" customFormat="false" ht="30" hidden="false" customHeight="true" outlineLevel="0" collapsed="false">
      <c r="A6" s="6" t="s">
        <v>6</v>
      </c>
      <c r="B6" s="4" t="n">
        <f aca="false">SUMIFS('Reconciliation Detail'!G:G,'Reconciliation Detail'!H:H,"Book Only",'Reconciliation Detail'!G:G,"&gt;0")</f>
        <v>0</v>
      </c>
      <c r="D6" s="6" t="s">
        <v>7</v>
      </c>
      <c r="E6" s="4" t="n">
        <f aca="false">SUMIFS('Reconciliation Detail'!F:F,'Reconciliation Detail'!H:H,"Bank Only")</f>
        <v>-134</v>
      </c>
    </row>
    <row r="7" customFormat="false" ht="30" hidden="false" customHeight="true" outlineLevel="0" collapsed="false">
      <c r="A7" s="6" t="s">
        <v>8</v>
      </c>
      <c r="B7" s="4" t="n">
        <f aca="false">SUMIFS('Reconciliation Detail'!G:G,'Reconciliation Detail'!H:H,"Book Only",'Reconciliation Detail'!G:G,"&lt;0")</f>
        <v>-189</v>
      </c>
    </row>
    <row r="8" customFormat="false" ht="15" hidden="false" customHeight="false" outlineLevel="0" collapsed="false">
      <c r="D8" s="7" t="s">
        <v>9</v>
      </c>
      <c r="E8" s="8" t="n">
        <f aca="false">E5+E6</f>
        <v>9293.28</v>
      </c>
    </row>
    <row r="9" customFormat="false" ht="15" hidden="false" customHeight="false" outlineLevel="0" collapsed="false">
      <c r="A9" s="7" t="s">
        <v>10</v>
      </c>
      <c r="B9" s="8" t="n">
        <f aca="false">B5+B6+B7</f>
        <v>10273.08</v>
      </c>
    </row>
    <row r="12" customFormat="false" ht="15" hidden="false" customHeight="false" outlineLevel="0" collapsed="false">
      <c r="A12" s="3" t="s">
        <v>11</v>
      </c>
      <c r="B12" s="4" t="n">
        <f aca="false">B9-E8</f>
        <v>979.800000000001</v>
      </c>
    </row>
    <row r="13" customFormat="false" ht="15" hidden="false" customHeight="false" outlineLevel="0" collapsed="false">
      <c r="A13" s="3" t="s">
        <v>12</v>
      </c>
      <c r="B13" s="3" t="str">
        <f aca="false">IF(ROUND(B12,2)=0,"YES - Tied Out","NO - Review Required")</f>
        <v>NO - Review Required</v>
      </c>
    </row>
    <row r="15" customFormat="false" ht="15" hidden="false" customHeight="false" outlineLevel="0" collapsed="false">
      <c r="A15" s="9" t="s">
        <v>13</v>
      </c>
    </row>
    <row r="16" customFormat="false" ht="30" hidden="false" customHeight="true" outlineLevel="0" collapsed="false">
      <c r="A16" s="6" t="s">
        <v>14</v>
      </c>
      <c r="B16" s="4" t="n">
        <f aca="false">SUMIFS('Reconciliation Detail'!F:F,'Reconciliation Detail'!H:H,"Amount Mismatch")-SUMIFS('Reconciliation Detail'!G:G,'Reconciliation Detail'!H:H,"Amount Mismatch")</f>
        <v>-0.200000000000003</v>
      </c>
    </row>
    <row r="17" customFormat="false" ht="30" hidden="false" customHeight="true" outlineLevel="0" collapsed="false">
      <c r="A17" s="6" t="s">
        <v>15</v>
      </c>
      <c r="B17" s="4" t="n">
        <f aca="false">SUMIFS('Reconciliation Detail'!F:F,'Reconciliation Detail'!H:H,"Possible Duplicate")-SUMIFS('Reconciliation Detail'!G:G,'Reconciliation Detail'!H:H,"Possible Duplicate")</f>
        <v>980</v>
      </c>
    </row>
    <row r="18" customFormat="false" ht="15" hidden="false" customHeight="false" outlineLevel="0" collapsed="false">
      <c r="A18" s="3" t="s">
        <v>16</v>
      </c>
      <c r="B18" s="10" t="n">
        <f aca="false">SUM(B16:B17)</f>
        <v>979.8</v>
      </c>
    </row>
    <row r="20" customFormat="false" ht="69.75" hidden="false" customHeight="true" outlineLevel="0" collapsed="false">
      <c r="A20" s="11" t="s">
        <v>17</v>
      </c>
      <c r="B20" s="11"/>
      <c r="C20" s="11"/>
      <c r="D20" s="11"/>
      <c r="E20" s="11"/>
    </row>
  </sheetData>
  <mergeCells count="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4" min="3" style="0" width="15"/>
    <col collapsed="false" customWidth="true" hidden="false" outlineLevel="0" max="5" min="5" style="0" width="27"/>
    <col collapsed="false" customWidth="true" hidden="false" outlineLevel="0" max="7" min="6" style="0" width="17"/>
    <col collapsed="false" customWidth="true" hidden="false" outlineLevel="0" max="8" min="8" style="0" width="22"/>
    <col collapsed="false" customWidth="true" hidden="false" outlineLevel="0" max="9" min="9" style="0" width="69"/>
  </cols>
  <sheetData>
    <row r="1" customFormat="false" ht="15" hidden="false" customHeight="false" outlineLevel="0" collapsed="false">
      <c r="A1" s="12" t="s">
        <v>18</v>
      </c>
      <c r="B1" s="12" t="s">
        <v>19</v>
      </c>
      <c r="C1" s="12" t="s">
        <v>20</v>
      </c>
      <c r="D1" s="12" t="s">
        <v>21</v>
      </c>
      <c r="E1" s="12" t="s">
        <v>22</v>
      </c>
      <c r="F1" s="12" t="s">
        <v>23</v>
      </c>
      <c r="G1" s="12" t="s">
        <v>24</v>
      </c>
      <c r="H1" s="12" t="s">
        <v>25</v>
      </c>
      <c r="I1" s="12" t="s">
        <v>26</v>
      </c>
    </row>
    <row r="2" customFormat="false" ht="15" hidden="false" customHeight="false" outlineLevel="0" collapsed="false">
      <c r="A2" s="13" t="s">
        <v>27</v>
      </c>
      <c r="B2" s="13" t="s">
        <v>28</v>
      </c>
      <c r="C2" s="14" t="n">
        <v>46174</v>
      </c>
      <c r="D2" s="14" t="n">
        <v>46174</v>
      </c>
      <c r="E2" s="13" t="s">
        <v>29</v>
      </c>
      <c r="F2" s="15" t="n">
        <v>-18.5</v>
      </c>
      <c r="G2" s="15" t="n">
        <v>-18.5</v>
      </c>
      <c r="H2" s="16" t="s">
        <v>30</v>
      </c>
      <c r="I2" s="13" t="s">
        <v>31</v>
      </c>
    </row>
    <row r="3" customFormat="false" ht="15" hidden="false" customHeight="false" outlineLevel="0" collapsed="false">
      <c r="A3" s="13" t="s">
        <v>32</v>
      </c>
      <c r="B3" s="13" t="s">
        <v>33</v>
      </c>
      <c r="C3" s="14" t="n">
        <v>46175</v>
      </c>
      <c r="D3" s="14" t="n">
        <v>46175</v>
      </c>
      <c r="E3" s="13" t="s">
        <v>34</v>
      </c>
      <c r="F3" s="15" t="n">
        <v>1200</v>
      </c>
      <c r="G3" s="15" t="n">
        <v>1200</v>
      </c>
      <c r="H3" s="16" t="s">
        <v>30</v>
      </c>
      <c r="I3" s="13" t="s">
        <v>31</v>
      </c>
    </row>
    <row r="4" customFormat="false" ht="15" hidden="false" customHeight="false" outlineLevel="0" collapsed="false">
      <c r="A4" s="13" t="s">
        <v>35</v>
      </c>
      <c r="B4" s="13" t="s">
        <v>36</v>
      </c>
      <c r="C4" s="14" t="n">
        <v>46177</v>
      </c>
      <c r="D4" s="14" t="n">
        <v>46178</v>
      </c>
      <c r="E4" s="13" t="s">
        <v>37</v>
      </c>
      <c r="F4" s="15" t="n">
        <v>-85.2</v>
      </c>
      <c r="G4" s="15" t="n">
        <v>-85</v>
      </c>
      <c r="H4" s="17" t="s">
        <v>38</v>
      </c>
      <c r="I4" s="13" t="s">
        <v>39</v>
      </c>
    </row>
    <row r="5" customFormat="false" ht="15" hidden="false" customHeight="false" outlineLevel="0" collapsed="false">
      <c r="A5" s="13" t="s">
        <v>40</v>
      </c>
      <c r="B5" s="13" t="s">
        <v>41</v>
      </c>
      <c r="C5" s="14" t="n">
        <v>46178</v>
      </c>
      <c r="D5" s="14" t="n">
        <v>46178</v>
      </c>
      <c r="E5" s="13" t="s">
        <v>42</v>
      </c>
      <c r="F5" s="15" t="n">
        <v>-220</v>
      </c>
      <c r="G5" s="15" t="n">
        <v>-220</v>
      </c>
      <c r="H5" s="16" t="s">
        <v>30</v>
      </c>
      <c r="I5" s="13" t="s">
        <v>31</v>
      </c>
    </row>
    <row r="6" customFormat="false" ht="15" hidden="false" customHeight="false" outlineLevel="0" collapsed="false">
      <c r="A6" s="13" t="s">
        <v>43</v>
      </c>
      <c r="B6" s="13" t="s">
        <v>44</v>
      </c>
      <c r="C6" s="14" t="n">
        <v>46179</v>
      </c>
      <c r="D6" s="14" t="n">
        <v>46179</v>
      </c>
      <c r="E6" s="13" t="s">
        <v>45</v>
      </c>
      <c r="F6" s="15" t="n">
        <v>750</v>
      </c>
      <c r="G6" s="15" t="n">
        <v>750</v>
      </c>
      <c r="H6" s="16" t="s">
        <v>30</v>
      </c>
      <c r="I6" s="13" t="s">
        <v>31</v>
      </c>
    </row>
    <row r="7" customFormat="false" ht="15" hidden="false" customHeight="false" outlineLevel="0" collapsed="false">
      <c r="A7" s="13" t="s">
        <v>46</v>
      </c>
      <c r="B7" s="13" t="s">
        <v>47</v>
      </c>
      <c r="C7" s="14" t="n">
        <v>46180</v>
      </c>
      <c r="D7" s="14" t="n">
        <v>46180</v>
      </c>
      <c r="E7" s="13" t="s">
        <v>48</v>
      </c>
      <c r="F7" s="15" t="n">
        <v>-14.99</v>
      </c>
      <c r="G7" s="15" t="n">
        <v>-14.99</v>
      </c>
      <c r="H7" s="16" t="s">
        <v>30</v>
      </c>
      <c r="I7" s="13" t="s">
        <v>31</v>
      </c>
    </row>
    <row r="8" customFormat="false" ht="15" hidden="false" customHeight="false" outlineLevel="0" collapsed="false">
      <c r="A8" s="13" t="s">
        <v>49</v>
      </c>
      <c r="B8" s="13" t="s">
        <v>50</v>
      </c>
      <c r="C8" s="14" t="n">
        <v>46181</v>
      </c>
      <c r="D8" s="14" t="n">
        <v>46181</v>
      </c>
      <c r="E8" s="13" t="s">
        <v>51</v>
      </c>
      <c r="F8" s="15" t="n">
        <v>980</v>
      </c>
      <c r="G8" s="15" t="n">
        <v>980</v>
      </c>
      <c r="H8" s="17" t="s">
        <v>52</v>
      </c>
      <c r="I8" s="13" t="s">
        <v>53</v>
      </c>
    </row>
    <row r="9" customFormat="false" ht="15" hidden="false" customHeight="false" outlineLevel="0" collapsed="false">
      <c r="A9" s="13" t="s">
        <v>54</v>
      </c>
      <c r="B9" s="13"/>
      <c r="C9" s="14" t="n">
        <v>46181</v>
      </c>
      <c r="D9" s="13"/>
      <c r="E9" s="13" t="s">
        <v>51</v>
      </c>
      <c r="F9" s="15" t="n">
        <v>980</v>
      </c>
      <c r="G9" s="15"/>
      <c r="H9" s="17" t="s">
        <v>52</v>
      </c>
      <c r="I9" s="13" t="s">
        <v>53</v>
      </c>
    </row>
    <row r="10" customFormat="false" ht="15" hidden="false" customHeight="false" outlineLevel="0" collapsed="false">
      <c r="A10" s="13" t="s">
        <v>55</v>
      </c>
      <c r="B10" s="13" t="s">
        <v>56</v>
      </c>
      <c r="C10" s="14" t="n">
        <v>46182</v>
      </c>
      <c r="D10" s="14" t="n">
        <v>46182</v>
      </c>
      <c r="E10" s="13" t="s">
        <v>57</v>
      </c>
      <c r="F10" s="15" t="n">
        <v>-450</v>
      </c>
      <c r="G10" s="15" t="n">
        <v>-450</v>
      </c>
      <c r="H10" s="16" t="s">
        <v>30</v>
      </c>
      <c r="I10" s="13" t="s">
        <v>31</v>
      </c>
    </row>
    <row r="11" customFormat="false" ht="15" hidden="false" customHeight="false" outlineLevel="0" collapsed="false">
      <c r="A11" s="13" t="s">
        <v>58</v>
      </c>
      <c r="B11" s="13" t="s">
        <v>59</v>
      </c>
      <c r="C11" s="14" t="n">
        <v>46183</v>
      </c>
      <c r="D11" s="14" t="n">
        <v>46183</v>
      </c>
      <c r="E11" s="13" t="s">
        <v>60</v>
      </c>
      <c r="F11" s="15" t="n">
        <v>-52.99</v>
      </c>
      <c r="G11" s="15" t="n">
        <v>-52.99</v>
      </c>
      <c r="H11" s="16" t="s">
        <v>30</v>
      </c>
      <c r="I11" s="13" t="s">
        <v>31</v>
      </c>
    </row>
    <row r="12" customFormat="false" ht="15" hidden="false" customHeight="false" outlineLevel="0" collapsed="false">
      <c r="A12" s="13" t="s">
        <v>61</v>
      </c>
      <c r="B12" s="13" t="s">
        <v>62</v>
      </c>
      <c r="C12" s="14" t="n">
        <v>46184</v>
      </c>
      <c r="D12" s="14" t="n">
        <v>46185</v>
      </c>
      <c r="E12" s="13" t="s">
        <v>63</v>
      </c>
      <c r="F12" s="15" t="n">
        <v>1500</v>
      </c>
      <c r="G12" s="15" t="n">
        <v>1500</v>
      </c>
      <c r="H12" s="18" t="s">
        <v>64</v>
      </c>
      <c r="I12" s="13" t="s">
        <v>65</v>
      </c>
    </row>
    <row r="13" customFormat="false" ht="15" hidden="false" customHeight="false" outlineLevel="0" collapsed="false">
      <c r="A13" s="13" t="s">
        <v>66</v>
      </c>
      <c r="B13" s="13" t="s">
        <v>67</v>
      </c>
      <c r="C13" s="14" t="n">
        <v>46185</v>
      </c>
      <c r="D13" s="14" t="n">
        <v>46186</v>
      </c>
      <c r="E13" s="13" t="s">
        <v>68</v>
      </c>
      <c r="F13" s="15" t="n">
        <v>-23.4</v>
      </c>
      <c r="G13" s="15" t="n">
        <v>-23.4</v>
      </c>
      <c r="H13" s="18" t="s">
        <v>64</v>
      </c>
      <c r="I13" s="13" t="s">
        <v>65</v>
      </c>
    </row>
    <row r="14" customFormat="false" ht="15" hidden="false" customHeight="false" outlineLevel="0" collapsed="false">
      <c r="A14" s="13" t="s">
        <v>69</v>
      </c>
      <c r="B14" s="13" t="s">
        <v>70</v>
      </c>
      <c r="C14" s="14" t="n">
        <v>46186</v>
      </c>
      <c r="D14" s="14" t="n">
        <v>46187</v>
      </c>
      <c r="E14" s="13" t="s">
        <v>71</v>
      </c>
      <c r="F14" s="15" t="n">
        <v>-29.99</v>
      </c>
      <c r="G14" s="15" t="n">
        <v>-29.99</v>
      </c>
      <c r="H14" s="18" t="s">
        <v>64</v>
      </c>
      <c r="I14" s="13" t="s">
        <v>65</v>
      </c>
    </row>
    <row r="15" customFormat="false" ht="15" hidden="false" customHeight="false" outlineLevel="0" collapsed="false">
      <c r="A15" s="13" t="s">
        <v>72</v>
      </c>
      <c r="B15" s="13" t="s">
        <v>73</v>
      </c>
      <c r="C15" s="14" t="n">
        <v>46187</v>
      </c>
      <c r="D15" s="14" t="n">
        <v>46188</v>
      </c>
      <c r="E15" s="13" t="s">
        <v>74</v>
      </c>
      <c r="F15" s="15" t="n">
        <v>640</v>
      </c>
      <c r="G15" s="15" t="n">
        <v>640</v>
      </c>
      <c r="H15" s="18" t="s">
        <v>64</v>
      </c>
      <c r="I15" s="13" t="s">
        <v>65</v>
      </c>
    </row>
    <row r="16" customFormat="false" ht="15" hidden="false" customHeight="false" outlineLevel="0" collapsed="false">
      <c r="A16" s="13" t="s">
        <v>75</v>
      </c>
      <c r="B16" s="13" t="s">
        <v>76</v>
      </c>
      <c r="C16" s="14" t="n">
        <v>46188</v>
      </c>
      <c r="D16" s="14" t="n">
        <v>46189</v>
      </c>
      <c r="E16" s="13" t="s">
        <v>77</v>
      </c>
      <c r="F16" s="15" t="n">
        <v>-310.75</v>
      </c>
      <c r="G16" s="15" t="n">
        <v>-310.75</v>
      </c>
      <c r="H16" s="18" t="s">
        <v>64</v>
      </c>
      <c r="I16" s="13" t="s">
        <v>65</v>
      </c>
    </row>
    <row r="17" customFormat="false" ht="15" hidden="false" customHeight="false" outlineLevel="0" collapsed="false">
      <c r="A17" s="13" t="s">
        <v>78</v>
      </c>
      <c r="B17" s="13"/>
      <c r="C17" s="14" t="n">
        <v>46189</v>
      </c>
      <c r="D17" s="13"/>
      <c r="E17" s="13" t="s">
        <v>79</v>
      </c>
      <c r="F17" s="15" t="n">
        <v>-35</v>
      </c>
      <c r="G17" s="15"/>
      <c r="H17" s="19" t="s">
        <v>80</v>
      </c>
      <c r="I17" s="13" t="s">
        <v>81</v>
      </c>
    </row>
    <row r="18" customFormat="false" ht="15" hidden="false" customHeight="false" outlineLevel="0" collapsed="false">
      <c r="A18" s="13" t="s">
        <v>82</v>
      </c>
      <c r="B18" s="13" t="s">
        <v>83</v>
      </c>
      <c r="C18" s="14" t="n">
        <v>46190</v>
      </c>
      <c r="D18" s="14" t="n">
        <v>46191</v>
      </c>
      <c r="E18" s="13" t="s">
        <v>84</v>
      </c>
      <c r="F18" s="15" t="n">
        <v>1120</v>
      </c>
      <c r="G18" s="15" t="n">
        <v>1120</v>
      </c>
      <c r="H18" s="18" t="s">
        <v>64</v>
      </c>
      <c r="I18" s="13" t="s">
        <v>65</v>
      </c>
    </row>
    <row r="19" customFormat="false" ht="15" hidden="false" customHeight="false" outlineLevel="0" collapsed="false">
      <c r="A19" s="13" t="s">
        <v>85</v>
      </c>
      <c r="B19" s="13" t="s">
        <v>86</v>
      </c>
      <c r="C19" s="14" t="n">
        <v>46191</v>
      </c>
      <c r="D19" s="14" t="n">
        <v>46192</v>
      </c>
      <c r="E19" s="13" t="s">
        <v>87</v>
      </c>
      <c r="F19" s="15" t="n">
        <v>-300</v>
      </c>
      <c r="G19" s="15" t="n">
        <v>-300</v>
      </c>
      <c r="H19" s="18" t="s">
        <v>64</v>
      </c>
      <c r="I19" s="13" t="s">
        <v>65</v>
      </c>
    </row>
    <row r="20" customFormat="false" ht="15" hidden="false" customHeight="false" outlineLevel="0" collapsed="false">
      <c r="A20" s="13" t="s">
        <v>88</v>
      </c>
      <c r="B20" s="13" t="s">
        <v>89</v>
      </c>
      <c r="C20" s="14" t="n">
        <v>46192</v>
      </c>
      <c r="D20" s="14" t="n">
        <v>46193</v>
      </c>
      <c r="E20" s="13" t="s">
        <v>90</v>
      </c>
      <c r="F20" s="15" t="n">
        <v>890</v>
      </c>
      <c r="G20" s="15" t="n">
        <v>890</v>
      </c>
      <c r="H20" s="18" t="s">
        <v>64</v>
      </c>
      <c r="I20" s="13" t="s">
        <v>65</v>
      </c>
    </row>
    <row r="21" customFormat="false" ht="15" hidden="false" customHeight="false" outlineLevel="0" collapsed="false">
      <c r="A21" s="13" t="s">
        <v>91</v>
      </c>
      <c r="B21" s="13" t="s">
        <v>92</v>
      </c>
      <c r="C21" s="14" t="n">
        <v>46193</v>
      </c>
      <c r="D21" s="14" t="n">
        <v>46194</v>
      </c>
      <c r="E21" s="13" t="s">
        <v>93</v>
      </c>
      <c r="F21" s="15" t="n">
        <v>-45.6</v>
      </c>
      <c r="G21" s="15" t="n">
        <v>-45.6</v>
      </c>
      <c r="H21" s="18" t="s">
        <v>64</v>
      </c>
      <c r="I21" s="13" t="s">
        <v>65</v>
      </c>
    </row>
    <row r="22" customFormat="false" ht="15" hidden="false" customHeight="false" outlineLevel="0" collapsed="false">
      <c r="A22" s="13" t="s">
        <v>94</v>
      </c>
      <c r="B22" s="13" t="s">
        <v>95</v>
      </c>
      <c r="C22" s="14" t="n">
        <v>46194</v>
      </c>
      <c r="D22" s="14" t="n">
        <v>46195</v>
      </c>
      <c r="E22" s="13" t="s">
        <v>96</v>
      </c>
      <c r="F22" s="15" t="n">
        <v>2200</v>
      </c>
      <c r="G22" s="15" t="n">
        <v>2200</v>
      </c>
      <c r="H22" s="18" t="s">
        <v>64</v>
      </c>
      <c r="I22" s="13" t="s">
        <v>65</v>
      </c>
    </row>
    <row r="23" customFormat="false" ht="15" hidden="false" customHeight="false" outlineLevel="0" collapsed="false">
      <c r="A23" s="13" t="s">
        <v>97</v>
      </c>
      <c r="B23" s="13" t="s">
        <v>98</v>
      </c>
      <c r="C23" s="14" t="n">
        <v>46195</v>
      </c>
      <c r="D23" s="14" t="n">
        <v>46196</v>
      </c>
      <c r="E23" s="13" t="s">
        <v>99</v>
      </c>
      <c r="F23" s="15" t="n">
        <v>-12.5</v>
      </c>
      <c r="G23" s="15" t="n">
        <v>-12.5</v>
      </c>
      <c r="H23" s="18" t="s">
        <v>64</v>
      </c>
      <c r="I23" s="13" t="s">
        <v>65</v>
      </c>
    </row>
    <row r="24" customFormat="false" ht="15" hidden="false" customHeight="false" outlineLevel="0" collapsed="false">
      <c r="A24" s="13" t="s">
        <v>100</v>
      </c>
      <c r="B24" s="13" t="s">
        <v>101</v>
      </c>
      <c r="C24" s="14" t="n">
        <v>46196</v>
      </c>
      <c r="D24" s="14" t="n">
        <v>46197</v>
      </c>
      <c r="E24" s="13" t="s">
        <v>102</v>
      </c>
      <c r="F24" s="15" t="n">
        <v>560</v>
      </c>
      <c r="G24" s="15" t="n">
        <v>560</v>
      </c>
      <c r="H24" s="18" t="s">
        <v>64</v>
      </c>
      <c r="I24" s="13" t="s">
        <v>65</v>
      </c>
    </row>
    <row r="25" customFormat="false" ht="15" hidden="false" customHeight="false" outlineLevel="0" collapsed="false">
      <c r="A25" s="13" t="s">
        <v>103</v>
      </c>
      <c r="B25" s="13"/>
      <c r="C25" s="14" t="n">
        <v>46197</v>
      </c>
      <c r="D25" s="13"/>
      <c r="E25" s="13" t="s">
        <v>104</v>
      </c>
      <c r="F25" s="15" t="n">
        <v>-99</v>
      </c>
      <c r="G25" s="15"/>
      <c r="H25" s="19" t="s">
        <v>80</v>
      </c>
      <c r="I25" s="13" t="s">
        <v>81</v>
      </c>
    </row>
    <row r="26" customFormat="false" ht="15" hidden="false" customHeight="false" outlineLevel="0" collapsed="false">
      <c r="A26" s="13" t="s">
        <v>105</v>
      </c>
      <c r="B26" s="13" t="s">
        <v>106</v>
      </c>
      <c r="C26" s="14" t="n">
        <v>46198</v>
      </c>
      <c r="D26" s="14" t="n">
        <v>46199</v>
      </c>
      <c r="E26" s="13" t="s">
        <v>107</v>
      </c>
      <c r="F26" s="15" t="n">
        <v>1340</v>
      </c>
      <c r="G26" s="15" t="n">
        <v>1340</v>
      </c>
      <c r="H26" s="18" t="s">
        <v>64</v>
      </c>
      <c r="I26" s="13" t="s">
        <v>65</v>
      </c>
    </row>
    <row r="27" customFormat="false" ht="15" hidden="false" customHeight="false" outlineLevel="0" collapsed="false">
      <c r="A27" s="13"/>
      <c r="B27" s="13" t="s">
        <v>108</v>
      </c>
      <c r="C27" s="13"/>
      <c r="D27" s="14" t="n">
        <v>46198</v>
      </c>
      <c r="E27" s="13" t="s">
        <v>109</v>
      </c>
      <c r="F27" s="15"/>
      <c r="G27" s="15" t="n">
        <v>-189</v>
      </c>
      <c r="H27" s="19" t="s">
        <v>110</v>
      </c>
      <c r="I27" s="13"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s>
  <sheetData>
    <row r="1" customFormat="false" ht="15" hidden="false" customHeight="false" outlineLevel="0" collapsed="false">
      <c r="A1" s="12" t="s">
        <v>25</v>
      </c>
      <c r="B1" s="12" t="s">
        <v>112</v>
      </c>
    </row>
    <row r="2" customFormat="false" ht="15" hidden="false" customHeight="false" outlineLevel="0" collapsed="false">
      <c r="A2" s="18" t="s">
        <v>64</v>
      </c>
      <c r="B2" s="20" t="n">
        <v>13</v>
      </c>
    </row>
    <row r="3" customFormat="false" ht="15" hidden="false" customHeight="false" outlineLevel="0" collapsed="false">
      <c r="A3" s="16" t="s">
        <v>30</v>
      </c>
      <c r="B3" s="20" t="n">
        <v>7</v>
      </c>
    </row>
    <row r="4" customFormat="false" ht="15" hidden="false" customHeight="false" outlineLevel="0" collapsed="false">
      <c r="A4" s="17" t="s">
        <v>52</v>
      </c>
      <c r="B4" s="20" t="n">
        <v>2</v>
      </c>
    </row>
    <row r="5" customFormat="false" ht="15" hidden="false" customHeight="false" outlineLevel="0" collapsed="false">
      <c r="A5" s="19" t="s">
        <v>80</v>
      </c>
      <c r="B5" s="20" t="n">
        <v>2</v>
      </c>
    </row>
    <row r="6" customFormat="false" ht="15" hidden="false" customHeight="false" outlineLevel="0" collapsed="false">
      <c r="A6" s="17" t="s">
        <v>38</v>
      </c>
      <c r="B6" s="20" t="n">
        <v>1</v>
      </c>
    </row>
    <row r="7" customFormat="false" ht="15" hidden="false" customHeight="false" outlineLevel="0" collapsed="false">
      <c r="A7" s="19" t="s">
        <v>110</v>
      </c>
      <c r="B7" s="20" t="n">
        <v>1</v>
      </c>
    </row>
    <row r="9" customFormat="false" ht="15" hidden="false" customHeight="false" outlineLevel="0" collapsed="false">
      <c r="A9" s="3" t="s">
        <v>113</v>
      </c>
      <c r="B9" s="3" t="n">
        <f aca="false">SUM(B2:B7)</f>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2026-06-18T11:04:49Z</dcterms:created>
  <dc:creator>openpyxl</dc:creator>
  <dc:description/>
  <dc:language>en-US</dc:language>
  <cp:lastModifiedBy/>
  <dcterms:modified xsi:type="dcterms:W3CDTF">2026-06-18T11:04:49Z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